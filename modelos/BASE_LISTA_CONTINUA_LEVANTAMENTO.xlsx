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omas\Downloads\Arquivos Roteirizador\Arquivos Roteirizador\ROTEIRIZAR LEVANTAMENTO\"/>
    </mc:Choice>
  </mc:AlternateContent>
  <xr:revisionPtr revIDLastSave="0" documentId="13_ncr:1_{DE7A1B8D-4337-4F88-B43B-DF68770CAC0F}" xr6:coauthVersionLast="47" xr6:coauthVersionMax="47" xr10:uidLastSave="{00000000-0000-0000-0000-000000000000}"/>
  <bookViews>
    <workbookView xWindow="33300" yWindow="1470" windowWidth="21600" windowHeight="11295" xr2:uid="{00000000-000D-0000-FFFF-FFFF00000000}"/>
  </bookViews>
  <sheets>
    <sheet name="NOTAS" sheetId="5" r:id="rId1"/>
  </sheets>
  <definedNames>
    <definedName name="_xlnm._FilterDatabase" localSheetId="0" hidden="1">NOTAS!$A$1:$AA$15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<sst xmlns="http://schemas.openxmlformats.org/spreadsheetml/2006/main" count="211" uniqueCount="90">
  <si>
    <t>STATUS SAP</t>
  </si>
  <si>
    <t>ID SISCO</t>
  </si>
  <si>
    <t>PROTOCOLO</t>
  </si>
  <si>
    <t>TIPO NOTA</t>
  </si>
  <si>
    <t>PRIORIDADE</t>
  </si>
  <si>
    <t>STATUS SISCO</t>
  </si>
  <si>
    <t>STATUS LIST</t>
  </si>
  <si>
    <t>FASE</t>
  </si>
  <si>
    <t>PAT</t>
  </si>
  <si>
    <t>DISTANCIA BT</t>
  </si>
  <si>
    <t>DISTANCIA MT</t>
  </si>
  <si>
    <t>DISTANCIA TRAFO</t>
  </si>
  <si>
    <t>POSTE PREVISTO BT</t>
  </si>
  <si>
    <t>POSTE PREVISTO MT</t>
  </si>
  <si>
    <t>NOME</t>
  </si>
  <si>
    <t>CONTA CONTRATO</t>
  </si>
  <si>
    <t>INSTALAÇÃO</t>
  </si>
  <si>
    <t>ENDEREÇO</t>
  </si>
  <si>
    <t>LOCALIDADE</t>
  </si>
  <si>
    <t>LATITUDE</t>
  </si>
  <si>
    <t>LONGITUDE</t>
  </si>
  <si>
    <t>ATIV</t>
  </si>
  <si>
    <t>Pré Análise</t>
  </si>
  <si>
    <t>LEVANTADOR</t>
  </si>
  <si>
    <t>DATA DESPACHO</t>
  </si>
  <si>
    <t>DATA ABERTURA</t>
  </si>
  <si>
    <t>REGIONAL</t>
  </si>
  <si>
    <t>MUNICIPIO</t>
  </si>
  <si>
    <t>INFORMAÇÕES</t>
  </si>
  <si>
    <t>MO</t>
  </si>
  <si>
    <t>Em levantamento</t>
  </si>
  <si>
    <t>URBANO</t>
  </si>
  <si>
    <t>PAT1</t>
  </si>
  <si>
    <t>UNR</t>
  </si>
  <si>
    <t>RURAL</t>
  </si>
  <si>
    <t>PAT2</t>
  </si>
  <si>
    <t>UNI</t>
  </si>
  <si>
    <t>JEFFERSON COSTA JANSEM</t>
  </si>
  <si>
    <t>CCF</t>
  </si>
  <si>
    <t>SIM</t>
  </si>
  <si>
    <t>SEM INFORMAÇÃO</t>
  </si>
  <si>
    <t>NORTE</t>
  </si>
  <si>
    <t>SAO JOSE DE RIBAMAR</t>
  </si>
  <si>
    <t>CANOPUS / CONDOMINIO RESERVA</t>
  </si>
  <si>
    <t>TV GRANJA,S/N / MAIOBINHA / CONDOMINIO RESERVA</t>
  </si>
  <si>
    <t>CONSTRUÇÃO DE REDE TRIFÁSICA 13,8 kV, CABO 1/0 AWG CA, 130 METROS, DO POSTE 1363125  ATÉ O PONTO DO CLIENTE.</t>
  </si>
  <si>
    <t>SAO LUIS</t>
  </si>
  <si>
    <t>FRANCISCO EGNALDO GONCALVES DE SOUSA</t>
  </si>
  <si>
    <t>R.27,08 / SAO CRISTOVAO / QD 40</t>
  </si>
  <si>
    <t>CONSTRUÇÃO DE REDE MT 1/0 CA 13,8 KV, DO PG 097153 ATE O CLIENTE</t>
  </si>
  <si>
    <t>PACO DO LUMIAR</t>
  </si>
  <si>
    <t>DANIELLE ARANHA BANDEIRA</t>
  </si>
  <si>
    <t>R.UNIAO,59 / BOA VISTA / LOTE 59  CASA 05</t>
  </si>
  <si>
    <t>PROXIMO DO COMERCIO DO SEU DANIEL</t>
  </si>
  <si>
    <t>MGD</t>
  </si>
  <si>
    <t>CAROLINE MENDES BASTIANI</t>
  </si>
  <si>
    <t>MA 203 S/N / ARACAGY / LT 364 RUA JANDAIA   ALPHAVILLE ARACAGY</t>
  </si>
  <si>
    <t>CONSTRUÇÃO DE 200m DE RD MT TRIFÁSICA 13,8 KV DO PG 13148171 ATÉ O PG 2008580; INSTALAÇÃO DE 01 NOVO TRAFO DE 112,5 KVA NO PG 2008580; ABRIR REDE DE BT ENTRE OS PG 13148171 E 13138585, ASSIM COMO ENTRE OS PG 2008590 E 44016066A;</t>
  </si>
  <si>
    <t>Correção de levantamento</t>
  </si>
  <si>
    <t>RAPOSA</t>
  </si>
  <si>
    <t>ELITA RODRIGUES REIS</t>
  </si>
  <si>
    <t>BATALHA 01 / PRIMIRIM</t>
  </si>
  <si>
    <t>DANIELLE SANTOS ROCHA</t>
  </si>
  <si>
    <t>TAPUTIUA 7777 / MARISOL</t>
  </si>
  <si>
    <t>TR</t>
  </si>
  <si>
    <t>MATHEUS MENDES VELLOSO MONTANHA CASTRO</t>
  </si>
  <si>
    <t>R.CECILIA ALLES,4 / PANAQUATIRA</t>
  </si>
  <si>
    <t>LOCAL NAO MAPEADO - TEL 98981200424</t>
  </si>
  <si>
    <t>SPE MIRITIUA EMPREENDIMENTO / RESIDENCIAL MIRITIUA</t>
  </si>
  <si>
    <t>NONATO MATOS,S/N / MIRITIUA</t>
  </si>
  <si>
    <t>CONSTRUIR 1,6 KM DE REDE MT 13,8KV CABO 336 DA BARRA 108969461 ATÉ A BARRA 104625276; RECAPACITAR 1,4 KM DE REDE MT 13,8KV CABO 336 DA BARRA 108699541 ATE A BARRA 104424156;</t>
  </si>
  <si>
    <t>IFMA MARACANÃ</t>
  </si>
  <si>
    <t>CURIOS S/N / VL ESPERANCA</t>
  </si>
  <si>
    <t>INSTALAÇÃO DE BANCO CAPACITOR 300 kVAr 13 8 kV PRÓXIMO DA BARRA 104368308</t>
  </si>
  <si>
    <t>AV SAO LUIS REI DE FRANCA,4 / TURU</t>
  </si>
  <si>
    <t>MAURICIO BASTOS DE CASTRO</t>
  </si>
  <si>
    <t>JORNALISMO 12 / COHAFUMA</t>
  </si>
  <si>
    <t xml:space="preserve"> - AMPLIAÇÃO DE POTENCIA DO TRAFO PARA  150 KVA</t>
  </si>
  <si>
    <t>EDVALDO VENTURA DELMONDES</t>
  </si>
  <si>
    <t>AVMARIO ANDREAZZA,S/N / TURU / COND PORTO DAS DUNAS CS 8</t>
  </si>
  <si>
    <t>RECONDUTORAMENTO DE REDE BT COM CABO 120MM ENTRE TRAFO: 0216216 E CLIENTE</t>
  </si>
  <si>
    <t>CARLOS ALBERTO MAGALHAES JUNIOR</t>
  </si>
  <si>
    <t>PRES J KUBITSCHECK 23 / QUINTAS CALHAU</t>
  </si>
  <si>
    <t>1 - SECCIONAMENTO NA BARRA 058573; 13066172 COM CONDUTOR 3#70MM²(70MM²), TRECHOS COM TOTAL DE 170 METROS. 2 - CONSTRUÇÃO DE REDE MT DA BARRA 13144099 ATÉ A BARRA 13024481 COM 3 - INSTALAR TRANSFORMADOR DE 112,5KVA/13,8KV NA BARRA 13024481; 3560988 DE 150 KVA NO SE/AL SLF01C2 TENSÃO MEDIANTE AS SEGUINTES OBRAS: 4 - RECAPACITAÇÃO DE REDE BT ENTRE AS BARRAS 058577/058574 E 058573/ CONDUTOR 3#25mm² CU NU(13,8KV), TRECHO COM CERCA DE 200 METROS; DO CLIENTE. OBS: SOBRECARGA PRÉ-EXISTENTE, NÃO DEVENDO TER PARTICIPAÇÃO FINANCEIRA PODEMOS ATENDER O CLIENTE CC 2001066694 COM GERAÇÃO DE 17,36 KW NO TRAFO</t>
  </si>
  <si>
    <t>DIF</t>
  </si>
  <si>
    <t>Liberado para Levantamento</t>
  </si>
  <si>
    <t>DIMENSAO ENGENHARIA / CONDOMÍNIO STOREY PARK RESIDENCE</t>
  </si>
  <si>
    <t>R.GENERAL ARTHUR CARVALHO,S/N / TURU</t>
  </si>
  <si>
    <t>SPE AMORIM COUTINHO BE LIFE CLUB LTDA</t>
  </si>
  <si>
    <t>CONSTRUÇÃO DE REDE 13,8KV DA BARRA 104422896-1 ATÉ O CIENTE (APROX. 500 METROS, CABO 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</si>
</sst>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2" fillId="6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14" fontId="1" fillId="7" borderId="0" xfId="0" applyNumberFormat="1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EF2F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8681-7D02-4136-A48D-17FDABC9BBC8}">
  <dimension ref="A1:AA15"/>
  <sheetViews>
    <sheetView tabSelected="1" workbookViewId="0">
      <selection activeCell="B23" sqref="B23"/>
    </sheetView>
  </sheetViews>
  <sheetFormatPr defaultColWidth="8.85546875" defaultRowHeight="12.75" x14ac:dyDescent="0.2"/>
  <cols>
    <col min="1" max="1" width="21.5703125" style="8" bestFit="1" customWidth="1"/>
    <col min="2" max="2" width="14.28515625" style="8" bestFit="1" customWidth="1"/>
    <col min="3" max="3" width="8" style="7" bestFit="1" customWidth="1"/>
    <col min="4" max="4" width="11" style="7" bestFit="1" customWidth="1"/>
    <col min="5" max="5" width="9.5703125" style="7" bestFit="1" customWidth="1"/>
    <col min="6" max="6" width="14" style="7" bestFit="1" customWidth="1"/>
    <col min="7" max="7" width="10.42578125" style="7" bestFit="1" customWidth="1"/>
    <col min="8" max="8" width="10.140625" style="7" bestFit="1" customWidth="1"/>
    <col min="9" max="9" width="23.7109375" style="7" bestFit="1" customWidth="1"/>
    <col min="10" max="10" width="22" style="7" bestFit="1" customWidth="1"/>
    <col min="11" max="12" width="15.5703125" style="7" bestFit="1" customWidth="1"/>
    <col min="13" max="13" width="9" style="7" bestFit="1" customWidth="1"/>
    <col min="14" max="14" width="18.42578125" style="7" bestFit="1" customWidth="1"/>
    <col min="15" max="15" width="11.5703125" style="7" bestFit="1" customWidth="1"/>
    <col min="16" max="16" width="12.140625" style="7" bestFit="1" customWidth="1"/>
    <col min="17" max="17" width="15" style="7" bestFit="1" customWidth="1"/>
    <col min="18" max="18" width="16.140625" style="7" bestFit="1" customWidth="1"/>
    <col min="19" max="19" width="16.7109375" style="7" bestFit="1" customWidth="1"/>
    <col min="20" max="20" width="53" style="7" bestFit="1" customWidth="1"/>
    <col min="21" max="21" width="15.85546875" style="7" bestFit="1" customWidth="1"/>
    <col min="22" max="22" width="11" style="7" bestFit="1" customWidth="1"/>
    <col min="23" max="23" width="54.7109375" style="7" bestFit="1" customWidth="1"/>
    <col min="24" max="24" width="15.5703125" style="7" bestFit="1" customWidth="1"/>
    <col min="25" max="25" width="9" style="7" bestFit="1" customWidth="1"/>
    <col min="26" max="26" width="10" style="7" bestFit="1" customWidth="1"/>
    <col min="27" max="27" width="255.7109375" style="7" bestFit="1" customWidth="1"/>
    <col min="28" max="16384" width="8.85546875" style="7"/>
  </cols>
  <sheetData>
    <row r="1" spans="1:27" x14ac:dyDescent="0.2">
      <c r="A1" s="6" t="s">
        <v>23</v>
      </c>
      <c r="B1" s="9" t="s">
        <v>24</v>
      </c>
      <c r="C1" s="1" t="s">
        <v>1</v>
      </c>
      <c r="D1" s="1" t="s">
        <v>2</v>
      </c>
      <c r="E1" s="1" t="s">
        <v>3</v>
      </c>
      <c r="F1" s="10" t="s">
        <v>25</v>
      </c>
      <c r="G1" s="2" t="s">
        <v>4</v>
      </c>
      <c r="H1" s="2" t="s">
        <v>0</v>
      </c>
      <c r="I1" s="3" t="s">
        <v>5</v>
      </c>
      <c r="J1" s="3" t="s">
        <v>6</v>
      </c>
      <c r="K1" s="4" t="s">
        <v>7</v>
      </c>
      <c r="L1" s="1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28</v>
      </c>
    </row>
    <row r="2" spans="1:27" x14ac:dyDescent="0.2">
      <c r="A2" s="11" t="s">
        <v>37</v>
      </c>
      <c r="B2" s="12">
        <v>46293</v>
      </c>
      <c r="C2" s="11">
        <v>0</v>
      </c>
      <c r="D2" s="11">
        <v>1114627506</v>
      </c>
      <c r="E2" s="11" t="s">
        <v>38</v>
      </c>
      <c r="F2" s="12">
        <v>46237</v>
      </c>
      <c r="G2" s="11" t="s">
        <v>39</v>
      </c>
      <c r="H2" s="11" t="s">
        <v>21</v>
      </c>
      <c r="I2" s="11">
        <v>0</v>
      </c>
      <c r="J2" s="11" t="s">
        <v>30</v>
      </c>
      <c r="K2" s="11" t="s">
        <v>40</v>
      </c>
      <c r="L2" s="11" t="s">
        <v>35</v>
      </c>
      <c r="M2" s="11" t="s">
        <v>41</v>
      </c>
      <c r="N2" s="11" t="s">
        <v>42</v>
      </c>
      <c r="O2" s="13">
        <v>0</v>
      </c>
      <c r="P2" s="13">
        <v>0</v>
      </c>
      <c r="Q2" s="13">
        <v>0</v>
      </c>
      <c r="R2" s="14">
        <v>0</v>
      </c>
      <c r="S2" s="14">
        <v>0</v>
      </c>
      <c r="T2" s="11" t="s">
        <v>43</v>
      </c>
      <c r="U2" s="11">
        <v>3025420267</v>
      </c>
      <c r="V2" s="11">
        <v>2001129435</v>
      </c>
      <c r="W2" s="11" t="s">
        <v>44</v>
      </c>
      <c r="X2" s="11" t="s">
        <v>31</v>
      </c>
      <c r="Y2" s="15">
        <v>-2.5576828058802299</v>
      </c>
      <c r="Z2" s="15">
        <v>-44.199481258714499</v>
      </c>
      <c r="AA2" s="11" t="s">
        <v>45</v>
      </c>
    </row>
    <row r="3" spans="1:27" x14ac:dyDescent="0.2">
      <c r="A3" s="11" t="s">
        <v>37</v>
      </c>
      <c r="B3" s="12">
        <v>46293</v>
      </c>
      <c r="C3" s="11">
        <v>2361074</v>
      </c>
      <c r="D3" s="11">
        <v>1114160572</v>
      </c>
      <c r="E3" s="11" t="s">
        <v>38</v>
      </c>
      <c r="F3" s="12">
        <v>46216</v>
      </c>
      <c r="G3" s="11" t="s">
        <v>39</v>
      </c>
      <c r="H3" s="11" t="s">
        <v>21</v>
      </c>
      <c r="I3" s="11" t="s">
        <v>22</v>
      </c>
      <c r="J3" s="11" t="s">
        <v>30</v>
      </c>
      <c r="K3" s="11" t="s">
        <v>40</v>
      </c>
      <c r="L3" s="11" t="s">
        <v>35</v>
      </c>
      <c r="M3" s="11" t="s">
        <v>41</v>
      </c>
      <c r="N3" s="11" t="s">
        <v>46</v>
      </c>
      <c r="O3" s="13">
        <v>0</v>
      </c>
      <c r="P3" s="13">
        <v>0</v>
      </c>
      <c r="Q3" s="13">
        <v>0</v>
      </c>
      <c r="R3" s="14">
        <v>0</v>
      </c>
      <c r="S3" s="14">
        <v>0</v>
      </c>
      <c r="T3" s="11" t="s">
        <v>47</v>
      </c>
      <c r="U3" s="11">
        <v>3025606620</v>
      </c>
      <c r="V3" s="11">
        <v>2001004820</v>
      </c>
      <c r="W3" s="11" t="s">
        <v>48</v>
      </c>
      <c r="X3" s="11" t="s">
        <v>31</v>
      </c>
      <c r="Y3" s="15">
        <v>-2.5750050046897299</v>
      </c>
      <c r="Z3" s="15">
        <v>-44.215600937210198</v>
      </c>
      <c r="AA3" s="11" t="s">
        <v>49</v>
      </c>
    </row>
    <row r="4" spans="1:27" x14ac:dyDescent="0.2">
      <c r="A4" s="11" t="s">
        <v>37</v>
      </c>
      <c r="B4" s="16">
        <v>46289</v>
      </c>
      <c r="C4" s="8">
        <v>2357721</v>
      </c>
      <c r="D4" s="8">
        <v>1114754771</v>
      </c>
      <c r="E4" s="8" t="s">
        <v>33</v>
      </c>
      <c r="F4" s="16">
        <v>46241</v>
      </c>
      <c r="G4" s="8"/>
      <c r="H4" s="8" t="s">
        <v>21</v>
      </c>
      <c r="I4" s="8" t="s">
        <v>22</v>
      </c>
      <c r="J4" s="11" t="s">
        <v>30</v>
      </c>
      <c r="K4" s="8" t="s">
        <v>29</v>
      </c>
      <c r="L4" s="8" t="s">
        <v>32</v>
      </c>
      <c r="M4" s="8" t="s">
        <v>41</v>
      </c>
      <c r="N4" s="8" t="s">
        <v>50</v>
      </c>
      <c r="O4" s="17">
        <v>56.2</v>
      </c>
      <c r="P4" s="17">
        <v>57.67</v>
      </c>
      <c r="Q4" s="17">
        <v>57.16</v>
      </c>
      <c r="R4" s="18">
        <v>1.405</v>
      </c>
      <c r="S4" s="18">
        <v>0.640777777777778</v>
      </c>
      <c r="T4" s="8" t="s">
        <v>51</v>
      </c>
      <c r="U4" s="8">
        <v>3026879883</v>
      </c>
      <c r="V4" s="8">
        <v>2001182263</v>
      </c>
      <c r="W4" s="8" t="s">
        <v>52</v>
      </c>
      <c r="X4" s="8" t="s">
        <v>34</v>
      </c>
      <c r="Y4" s="5">
        <v>-2.4909983000000002</v>
      </c>
      <c r="Z4" s="5">
        <v>-44.175851700000003</v>
      </c>
      <c r="AA4" s="8" t="s">
        <v>53</v>
      </c>
    </row>
    <row r="5" spans="1:27" x14ac:dyDescent="0.2">
      <c r="A5" s="11" t="s">
        <v>37</v>
      </c>
      <c r="B5" s="12">
        <v>46293</v>
      </c>
      <c r="C5" s="11">
        <v>1975141</v>
      </c>
      <c r="D5" s="11">
        <v>1110701955</v>
      </c>
      <c r="E5" s="11" t="s">
        <v>54</v>
      </c>
      <c r="F5" s="12">
        <v>46079</v>
      </c>
      <c r="G5" s="11" t="s">
        <v>39</v>
      </c>
      <c r="H5" s="11" t="s">
        <v>21</v>
      </c>
      <c r="I5" s="11" t="s">
        <v>22</v>
      </c>
      <c r="J5" s="11" t="s">
        <v>30</v>
      </c>
      <c r="K5" s="11" t="s">
        <v>40</v>
      </c>
      <c r="L5" s="11" t="s">
        <v>40</v>
      </c>
      <c r="M5" s="11" t="s">
        <v>41</v>
      </c>
      <c r="N5" s="11" t="s">
        <v>50</v>
      </c>
      <c r="O5" s="13">
        <v>0</v>
      </c>
      <c r="P5" s="13">
        <v>0</v>
      </c>
      <c r="Q5" s="13">
        <v>0</v>
      </c>
      <c r="R5" s="14">
        <v>0</v>
      </c>
      <c r="S5" s="14">
        <v>0</v>
      </c>
      <c r="T5" s="11" t="s">
        <v>55</v>
      </c>
      <c r="U5" s="11">
        <v>3025393570</v>
      </c>
      <c r="V5" s="11">
        <v>2001128353</v>
      </c>
      <c r="W5" s="11" t="s">
        <v>56</v>
      </c>
      <c r="X5" s="11" t="s">
        <v>31</v>
      </c>
      <c r="Y5" s="15">
        <v>-2.46794711158303</v>
      </c>
      <c r="Z5" s="15">
        <v>-44.174709689649397</v>
      </c>
      <c r="AA5" s="11" t="s">
        <v>57</v>
      </c>
    </row>
    <row r="6" spans="1:27" x14ac:dyDescent="0.2">
      <c r="A6" s="11" t="s">
        <v>37</v>
      </c>
      <c r="B6" s="16">
        <v>46289</v>
      </c>
      <c r="C6" s="8">
        <v>2363423</v>
      </c>
      <c r="D6" s="8">
        <v>1115497647</v>
      </c>
      <c r="E6" s="8" t="s">
        <v>36</v>
      </c>
      <c r="F6" s="16">
        <v>46266</v>
      </c>
      <c r="G6" s="8"/>
      <c r="H6" s="8" t="s">
        <v>21</v>
      </c>
      <c r="I6" s="8" t="s">
        <v>22</v>
      </c>
      <c r="J6" s="11" t="s">
        <v>30</v>
      </c>
      <c r="K6" s="8" t="s">
        <v>40</v>
      </c>
      <c r="L6" s="8" t="s">
        <v>40</v>
      </c>
      <c r="M6" s="8" t="s">
        <v>41</v>
      </c>
      <c r="N6" s="8" t="s">
        <v>59</v>
      </c>
      <c r="O6" s="17">
        <v>0</v>
      </c>
      <c r="P6" s="17">
        <v>0</v>
      </c>
      <c r="Q6" s="17">
        <v>0</v>
      </c>
      <c r="R6" s="18">
        <v>0</v>
      </c>
      <c r="S6" s="18">
        <v>0</v>
      </c>
      <c r="T6" s="8" t="s">
        <v>60</v>
      </c>
      <c r="U6" s="8">
        <v>3027101649</v>
      </c>
      <c r="V6" s="8">
        <v>2001190470</v>
      </c>
      <c r="W6" s="8" t="s">
        <v>61</v>
      </c>
      <c r="X6" s="8" t="s">
        <v>31</v>
      </c>
      <c r="Y6" s="5">
        <v>-2.4520605</v>
      </c>
      <c r="Z6" s="5">
        <v>-44.1421031</v>
      </c>
      <c r="AA6" s="8"/>
    </row>
    <row r="7" spans="1:27" x14ac:dyDescent="0.2">
      <c r="A7" s="11" t="s">
        <v>37</v>
      </c>
      <c r="B7" s="12">
        <v>46289</v>
      </c>
      <c r="C7" s="11">
        <v>2363008</v>
      </c>
      <c r="D7" s="11">
        <v>1115402561</v>
      </c>
      <c r="E7" s="11" t="s">
        <v>36</v>
      </c>
      <c r="F7" s="12">
        <v>46262</v>
      </c>
      <c r="G7" s="11"/>
      <c r="H7" s="11" t="s">
        <v>21</v>
      </c>
      <c r="I7" s="11" t="s">
        <v>22</v>
      </c>
      <c r="J7" s="11" t="s">
        <v>58</v>
      </c>
      <c r="K7" s="11" t="s">
        <v>40</v>
      </c>
      <c r="L7" s="11" t="s">
        <v>40</v>
      </c>
      <c r="M7" s="11" t="s">
        <v>41</v>
      </c>
      <c r="N7" s="11" t="s">
        <v>59</v>
      </c>
      <c r="O7" s="13">
        <v>0</v>
      </c>
      <c r="P7" s="13">
        <v>0</v>
      </c>
      <c r="Q7" s="13">
        <v>0</v>
      </c>
      <c r="R7" s="14">
        <v>0</v>
      </c>
      <c r="S7" s="14">
        <v>0</v>
      </c>
      <c r="T7" s="11" t="s">
        <v>62</v>
      </c>
      <c r="U7" s="11">
        <v>3027064530</v>
      </c>
      <c r="V7" s="11">
        <v>2001188918</v>
      </c>
      <c r="W7" s="11" t="s">
        <v>63</v>
      </c>
      <c r="X7" s="11" t="s">
        <v>31</v>
      </c>
      <c r="Y7" s="15">
        <v>-2.4479932999999998</v>
      </c>
      <c r="Z7" s="15">
        <v>-44.094619999999999</v>
      </c>
      <c r="AA7" s="11"/>
    </row>
    <row r="8" spans="1:27" x14ac:dyDescent="0.2">
      <c r="A8" s="11" t="s">
        <v>37</v>
      </c>
      <c r="B8" s="16">
        <v>46289</v>
      </c>
      <c r="C8" s="8">
        <v>2358132</v>
      </c>
      <c r="D8" s="8">
        <v>1114844204</v>
      </c>
      <c r="E8" s="8" t="s">
        <v>36</v>
      </c>
      <c r="F8" s="16">
        <v>46244</v>
      </c>
      <c r="G8" s="8"/>
      <c r="H8" s="8" t="s">
        <v>21</v>
      </c>
      <c r="I8" s="8" t="s">
        <v>22</v>
      </c>
      <c r="J8" s="11" t="s">
        <v>30</v>
      </c>
      <c r="K8" s="8" t="s">
        <v>64</v>
      </c>
      <c r="L8" s="8" t="s">
        <v>40</v>
      </c>
      <c r="M8" s="8" t="s">
        <v>41</v>
      </c>
      <c r="N8" s="8" t="s">
        <v>42</v>
      </c>
      <c r="O8" s="17">
        <v>0</v>
      </c>
      <c r="P8" s="17">
        <v>0</v>
      </c>
      <c r="Q8" s="17">
        <v>0</v>
      </c>
      <c r="R8" s="18">
        <v>0</v>
      </c>
      <c r="S8" s="18">
        <v>0</v>
      </c>
      <c r="T8" s="8" t="s">
        <v>65</v>
      </c>
      <c r="U8" s="8">
        <v>3026893851</v>
      </c>
      <c r="V8" s="8">
        <v>2001182743</v>
      </c>
      <c r="W8" s="8" t="s">
        <v>66</v>
      </c>
      <c r="X8" s="8" t="s">
        <v>31</v>
      </c>
      <c r="Y8" s="5">
        <v>-2.4948717</v>
      </c>
      <c r="Z8" s="5">
        <v>-44.034026699999998</v>
      </c>
      <c r="AA8" s="8" t="s">
        <v>67</v>
      </c>
    </row>
    <row r="9" spans="1:27" x14ac:dyDescent="0.2">
      <c r="A9" s="11" t="s">
        <v>37</v>
      </c>
      <c r="B9" s="16">
        <v>46297</v>
      </c>
      <c r="C9" s="8">
        <v>0</v>
      </c>
      <c r="D9" s="8">
        <v>1112931205</v>
      </c>
      <c r="E9" s="8" t="s">
        <v>38</v>
      </c>
      <c r="F9" s="16">
        <v>46161</v>
      </c>
      <c r="G9" s="8" t="s">
        <v>39</v>
      </c>
      <c r="H9" s="8" t="s">
        <v>21</v>
      </c>
      <c r="I9" s="8">
        <v>0</v>
      </c>
      <c r="J9" s="11">
        <v>0</v>
      </c>
      <c r="K9" s="8" t="s">
        <v>40</v>
      </c>
      <c r="L9" s="8" t="s">
        <v>40</v>
      </c>
      <c r="M9" s="8" t="s">
        <v>41</v>
      </c>
      <c r="N9" s="8" t="s">
        <v>42</v>
      </c>
      <c r="O9" s="17">
        <v>0</v>
      </c>
      <c r="P9" s="17">
        <v>0</v>
      </c>
      <c r="Q9" s="17">
        <v>0</v>
      </c>
      <c r="R9" s="18">
        <v>0</v>
      </c>
      <c r="S9" s="18">
        <v>0</v>
      </c>
      <c r="T9" s="8" t="s">
        <v>68</v>
      </c>
      <c r="U9" s="8">
        <v>1000121412</v>
      </c>
      <c r="V9" s="8">
        <v>0</v>
      </c>
      <c r="W9" s="8" t="s">
        <v>69</v>
      </c>
      <c r="X9" s="8" t="s">
        <v>34</v>
      </c>
      <c r="Y9" s="5">
        <v>-2.4897037994365001</v>
      </c>
      <c r="Z9" s="5">
        <v>-44.183122115249702</v>
      </c>
      <c r="AA9" s="8" t="s">
        <v>70</v>
      </c>
    </row>
    <row r="10" spans="1:27" x14ac:dyDescent="0.2">
      <c r="A10" s="11" t="s">
        <v>37</v>
      </c>
      <c r="B10" s="16">
        <v>46297</v>
      </c>
      <c r="C10" s="8">
        <v>0</v>
      </c>
      <c r="D10" s="8">
        <v>1114398842</v>
      </c>
      <c r="E10" s="8" t="s">
        <v>38</v>
      </c>
      <c r="F10" s="16">
        <v>46226</v>
      </c>
      <c r="G10" s="8" t="s">
        <v>39</v>
      </c>
      <c r="H10" s="8" t="s">
        <v>21</v>
      </c>
      <c r="I10" s="8">
        <v>0</v>
      </c>
      <c r="J10" s="11">
        <v>0</v>
      </c>
      <c r="K10" s="8" t="s">
        <v>40</v>
      </c>
      <c r="L10" s="8" t="s">
        <v>40</v>
      </c>
      <c r="M10" s="8" t="s">
        <v>41</v>
      </c>
      <c r="N10" s="8" t="s">
        <v>46</v>
      </c>
      <c r="O10" s="17">
        <v>0</v>
      </c>
      <c r="P10" s="17">
        <v>0</v>
      </c>
      <c r="Q10" s="17">
        <v>0</v>
      </c>
      <c r="R10" s="18">
        <v>0</v>
      </c>
      <c r="S10" s="18">
        <v>0</v>
      </c>
      <c r="T10" s="8" t="s">
        <v>71</v>
      </c>
      <c r="U10" s="8">
        <v>34342598</v>
      </c>
      <c r="V10" s="8">
        <v>34342598</v>
      </c>
      <c r="W10" s="8" t="s">
        <v>72</v>
      </c>
      <c r="X10" s="8" t="s">
        <v>34</v>
      </c>
      <c r="Y10" s="5">
        <v>-2.61202388140455</v>
      </c>
      <c r="Z10" s="5">
        <v>-44.2658984108486</v>
      </c>
      <c r="AA10" s="8" t="s">
        <v>73</v>
      </c>
    </row>
    <row r="11" spans="1:27" x14ac:dyDescent="0.2">
      <c r="A11" s="11" t="s">
        <v>37</v>
      </c>
      <c r="B11" s="12">
        <v>46274</v>
      </c>
      <c r="C11" s="11">
        <v>2352005</v>
      </c>
      <c r="D11" s="11">
        <v>1114006171</v>
      </c>
      <c r="E11" s="11" t="s">
        <v>54</v>
      </c>
      <c r="F11" s="12">
        <v>46209</v>
      </c>
      <c r="G11" s="11" t="s">
        <v>39</v>
      </c>
      <c r="H11" s="11" t="s">
        <v>21</v>
      </c>
      <c r="I11" s="11" t="s">
        <v>22</v>
      </c>
      <c r="J11" s="11" t="s">
        <v>30</v>
      </c>
      <c r="K11" s="11" t="s">
        <v>29</v>
      </c>
      <c r="L11" s="11" t="s">
        <v>32</v>
      </c>
      <c r="M11" s="11" t="s">
        <v>41</v>
      </c>
      <c r="N11" s="11" t="s">
        <v>46</v>
      </c>
      <c r="O11" s="13">
        <v>34.96</v>
      </c>
      <c r="P11" s="13">
        <v>33.020000000000003</v>
      </c>
      <c r="Q11" s="13">
        <v>31.5</v>
      </c>
      <c r="R11" s="14">
        <v>0.874</v>
      </c>
      <c r="S11" s="14">
        <v>0.36688888888888899</v>
      </c>
      <c r="T11" s="11" t="s">
        <v>75</v>
      </c>
      <c r="U11" s="11">
        <v>3022792031</v>
      </c>
      <c r="V11" s="11">
        <v>1120948</v>
      </c>
      <c r="W11" s="11" t="s">
        <v>76</v>
      </c>
      <c r="X11" s="11" t="s">
        <v>31</v>
      </c>
      <c r="Y11" s="15">
        <v>-2.5126572999999999</v>
      </c>
      <c r="Z11" s="15">
        <v>-44.265058500000002</v>
      </c>
      <c r="AA11" s="11" t="s">
        <v>77</v>
      </c>
    </row>
    <row r="12" spans="1:27" x14ac:dyDescent="0.2">
      <c r="A12" s="8" t="s">
        <v>37</v>
      </c>
      <c r="B12" s="16">
        <v>46288</v>
      </c>
      <c r="C12" s="8">
        <v>2352021</v>
      </c>
      <c r="D12" s="8">
        <v>1113962532</v>
      </c>
      <c r="E12" s="8" t="s">
        <v>54</v>
      </c>
      <c r="F12" s="16">
        <v>46206</v>
      </c>
      <c r="G12" s="8" t="s">
        <v>39</v>
      </c>
      <c r="H12" s="8" t="s">
        <v>21</v>
      </c>
      <c r="I12" s="8" t="s">
        <v>22</v>
      </c>
      <c r="J12" s="11" t="s">
        <v>58</v>
      </c>
      <c r="K12" s="8" t="s">
        <v>40</v>
      </c>
      <c r="L12" s="8" t="s">
        <v>40</v>
      </c>
      <c r="M12" s="8" t="s">
        <v>41</v>
      </c>
      <c r="N12" s="8" t="s">
        <v>46</v>
      </c>
      <c r="O12" s="17">
        <v>0</v>
      </c>
      <c r="P12" s="17">
        <v>0</v>
      </c>
      <c r="Q12" s="17">
        <v>0</v>
      </c>
      <c r="R12" s="18">
        <v>0</v>
      </c>
      <c r="S12" s="18">
        <v>0</v>
      </c>
      <c r="T12" s="8" t="s">
        <v>78</v>
      </c>
      <c r="U12" s="8">
        <v>3023178841</v>
      </c>
      <c r="V12" s="8">
        <v>31836174</v>
      </c>
      <c r="W12" s="8" t="s">
        <v>79</v>
      </c>
      <c r="X12" s="8" t="s">
        <v>31</v>
      </c>
      <c r="Y12" s="5">
        <v>-2.50231374559297</v>
      </c>
      <c r="Z12" s="5">
        <v>-44.236523789824297</v>
      </c>
      <c r="AA12" s="8" t="s">
        <v>80</v>
      </c>
    </row>
    <row r="13" spans="1:27" x14ac:dyDescent="0.2">
      <c r="A13" s="11" t="s">
        <v>37</v>
      </c>
      <c r="B13" s="16">
        <v>46274</v>
      </c>
      <c r="C13" s="8">
        <v>2332961</v>
      </c>
      <c r="D13" s="8">
        <v>1113626084</v>
      </c>
      <c r="E13" s="8" t="s">
        <v>54</v>
      </c>
      <c r="F13" s="16">
        <v>46191</v>
      </c>
      <c r="G13" s="8" t="s">
        <v>39</v>
      </c>
      <c r="H13" s="8" t="s">
        <v>21</v>
      </c>
      <c r="I13" s="8" t="s">
        <v>22</v>
      </c>
      <c r="J13" s="11" t="s">
        <v>30</v>
      </c>
      <c r="K13" s="8" t="s">
        <v>64</v>
      </c>
      <c r="L13" s="8" t="s">
        <v>32</v>
      </c>
      <c r="M13" s="8" t="s">
        <v>41</v>
      </c>
      <c r="N13" s="8" t="s">
        <v>46</v>
      </c>
      <c r="O13" s="17">
        <v>30.71</v>
      </c>
      <c r="P13" s="17">
        <v>28.86</v>
      </c>
      <c r="Q13" s="17">
        <v>76.78</v>
      </c>
      <c r="R13" s="18">
        <v>0.76775000000000004</v>
      </c>
      <c r="S13" s="18">
        <v>0.32066666666666699</v>
      </c>
      <c r="T13" s="8" t="s">
        <v>81</v>
      </c>
      <c r="U13" s="8">
        <v>3023852607</v>
      </c>
      <c r="V13" s="8">
        <v>2001066694</v>
      </c>
      <c r="W13" s="8" t="s">
        <v>82</v>
      </c>
      <c r="X13" s="8" t="s">
        <v>31</v>
      </c>
      <c r="Y13" s="5">
        <v>-2.4871599299999998</v>
      </c>
      <c r="Z13" s="5">
        <v>-44.258302759999999</v>
      </c>
      <c r="AA13" s="8" t="s">
        <v>83</v>
      </c>
    </row>
    <row r="14" spans="1:27" x14ac:dyDescent="0.2">
      <c r="A14" s="8" t="s">
        <v>37</v>
      </c>
      <c r="B14" s="16">
        <v>46297</v>
      </c>
      <c r="C14" s="8">
        <v>1982571</v>
      </c>
      <c r="D14" s="8">
        <v>1110631922</v>
      </c>
      <c r="E14" s="8" t="s">
        <v>84</v>
      </c>
      <c r="F14" s="16">
        <v>46077</v>
      </c>
      <c r="G14" s="8" t="s">
        <v>39</v>
      </c>
      <c r="H14" s="8" t="s">
        <v>21</v>
      </c>
      <c r="I14" s="8" t="s">
        <v>85</v>
      </c>
      <c r="J14" s="11" t="s">
        <v>30</v>
      </c>
      <c r="K14" s="8" t="s">
        <v>40</v>
      </c>
      <c r="L14" s="8" t="s">
        <v>40</v>
      </c>
      <c r="M14" s="8" t="s">
        <v>41</v>
      </c>
      <c r="N14" s="8" t="s">
        <v>46</v>
      </c>
      <c r="O14" s="17">
        <v>0</v>
      </c>
      <c r="P14" s="17">
        <v>0</v>
      </c>
      <c r="Q14" s="17">
        <v>0</v>
      </c>
      <c r="R14" s="18">
        <v>0</v>
      </c>
      <c r="S14" s="18">
        <v>0</v>
      </c>
      <c r="T14" s="8" t="s">
        <v>86</v>
      </c>
      <c r="U14" s="8">
        <v>1000121128</v>
      </c>
      <c r="V14" s="8">
        <v>0</v>
      </c>
      <c r="W14" s="8" t="s">
        <v>87</v>
      </c>
      <c r="X14" s="8" t="s">
        <v>31</v>
      </c>
      <c r="Y14" s="5">
        <v>-2.4993572533409698</v>
      </c>
      <c r="Z14" s="5">
        <v>-44.168880878123502</v>
      </c>
      <c r="AA14" s="8" t="s">
        <v>70</v>
      </c>
    </row>
    <row r="15" spans="1:27" x14ac:dyDescent="0.2">
      <c r="A15" s="8" t="s">
        <v>37</v>
      </c>
      <c r="B15" s="16">
        <v>46297</v>
      </c>
      <c r="C15" s="11">
        <v>1982549</v>
      </c>
      <c r="D15" s="11">
        <v>1091603729</v>
      </c>
      <c r="E15" s="11" t="s">
        <v>84</v>
      </c>
      <c r="F15" s="12">
        <v>45483</v>
      </c>
      <c r="G15" s="11" t="s">
        <v>39</v>
      </c>
      <c r="H15" s="11" t="s">
        <v>21</v>
      </c>
      <c r="I15" s="11" t="s">
        <v>22</v>
      </c>
      <c r="J15" s="11">
        <v>0</v>
      </c>
      <c r="K15" s="11" t="s">
        <v>40</v>
      </c>
      <c r="L15" s="11" t="s">
        <v>40</v>
      </c>
      <c r="M15" s="11" t="s">
        <v>41</v>
      </c>
      <c r="N15" s="11" t="s">
        <v>46</v>
      </c>
      <c r="O15" s="13">
        <v>0</v>
      </c>
      <c r="P15" s="13">
        <v>0</v>
      </c>
      <c r="Q15" s="13">
        <v>0</v>
      </c>
      <c r="R15" s="14">
        <v>0</v>
      </c>
      <c r="S15" s="14">
        <v>0</v>
      </c>
      <c r="T15" s="11" t="s">
        <v>88</v>
      </c>
      <c r="U15" s="11">
        <v>1000113340</v>
      </c>
      <c r="V15" s="11">
        <v>0</v>
      </c>
      <c r="W15" s="11" t="s">
        <v>74</v>
      </c>
      <c r="X15" s="11" t="s">
        <v>40</v>
      </c>
      <c r="Y15" s="15">
        <v>-2.4958660544039399</v>
      </c>
      <c r="Z15" s="15">
        <v>-44.2056628189954</v>
      </c>
      <c r="AA15" s="11" t="s">
        <v>89</v>
      </c>
    </row>
  </sheetData>
  <conditionalFormatting sqref="J2:J15">
    <cfRule type="cellIs" dxfId="2" priority="3" operator="equal">
      <formula>"Em levantamento"</formula>
    </cfRule>
    <cfRule type="cellIs" dxfId="1" priority="4" operator="equal">
      <formula>"Correção de levantamento"</formula>
    </cfRule>
    <cfRule type="cellIs" dxfId="0" priority="5" operator="equal">
      <formula>"SEM INFORMAÇÃO"</formula>
    </cfRule>
  </conditionalFormatting>
  <conditionalFormatting sqref="O2:Q15">
    <cfRule type="colorScale" priority="12">
      <colorScale>
        <cfvo type="min"/>
        <cfvo type="percentile" val="50"/>
        <cfvo type="max"/>
        <color rgb="FFFFFFFF"/>
        <color rgb="FFDDEBF7"/>
        <color rgb="FF5B9BD5"/>
      </colorScale>
    </cfRule>
  </conditionalFormatting>
  <conditionalFormatting sqref="R2:S15">
    <cfRule type="colorScale" priority="14">
      <colorScale>
        <cfvo type="min"/>
        <cfvo type="percentile" val="50"/>
        <cfvo type="max"/>
        <color rgb="FFFFFFFF"/>
        <color rgb="FFE2F0D9"/>
        <color rgb="FF70AD47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Victor Cerqueira Silva</dc:creator>
  <cp:lastModifiedBy>Thomas Victor Cerqueira Silva</cp:lastModifiedBy>
  <dcterms:created xsi:type="dcterms:W3CDTF">2015-06-05T18:19:34Z</dcterms:created>
  <dcterms:modified xsi:type="dcterms:W3CDTF">2026-10-03T22:49:04Z</dcterms:modified>
</cp:coreProperties>
</file>